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v\OneDrive\Documentos\3-Papers\Intangible_skill_Vicente\"/>
    </mc:Choice>
  </mc:AlternateContent>
  <xr:revisionPtr revIDLastSave="0" documentId="13_ncr:1_{58B27370-9944-436E-B607-49F90FC707C6}" xr6:coauthVersionLast="47" xr6:coauthVersionMax="47" xr10:uidLastSave="{00000000-0000-0000-0000-000000000000}"/>
  <bookViews>
    <workbookView xWindow="-108" yWindow="-108" windowWidth="23256" windowHeight="12456" activeTab="1" xr2:uid="{3FC59CA7-3043-4BEE-82F9-53D733733BD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E30" i="1"/>
  <c r="F30" i="1"/>
  <c r="H30" i="1"/>
  <c r="I30" i="1"/>
  <c r="K30" i="1"/>
  <c r="L30" i="1"/>
  <c r="N30" i="1"/>
  <c r="O30" i="1"/>
  <c r="Q30" i="1"/>
  <c r="R30" i="1"/>
  <c r="T30" i="1"/>
  <c r="U30" i="1"/>
  <c r="B30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7" i="1"/>
  <c r="V30" i="1" l="1"/>
  <c r="D30" i="1"/>
  <c r="P30" i="1"/>
  <c r="G30" i="1"/>
  <c r="J30" i="1"/>
  <c r="M30" i="1"/>
  <c r="S30" i="1"/>
</calcChain>
</file>

<file path=xl/sharedStrings.xml><?xml version="1.0" encoding="utf-8"?>
<sst xmlns="http://schemas.openxmlformats.org/spreadsheetml/2006/main" count="30" uniqueCount="30">
  <si>
    <t>K PT</t>
  </si>
  <si>
    <t>S PT</t>
  </si>
  <si>
    <t>Ratio PT</t>
  </si>
  <si>
    <t>K SPA</t>
  </si>
  <si>
    <t>S SPA</t>
  </si>
  <si>
    <t>Ratio SPA</t>
  </si>
  <si>
    <t>K US</t>
  </si>
  <si>
    <t>S US</t>
  </si>
  <si>
    <t>Ratio US</t>
  </si>
  <si>
    <t>S UK</t>
  </si>
  <si>
    <t>K UK</t>
  </si>
  <si>
    <t>Ratio UK</t>
  </si>
  <si>
    <t>K FR</t>
  </si>
  <si>
    <t>S FR</t>
  </si>
  <si>
    <t>Ratio FR</t>
  </si>
  <si>
    <t>K GER</t>
  </si>
  <si>
    <t>S GER</t>
  </si>
  <si>
    <t>Ratio GER</t>
  </si>
  <si>
    <t>Ratio Growth</t>
  </si>
  <si>
    <t>S IT</t>
  </si>
  <si>
    <t>K IT</t>
  </si>
  <si>
    <t>Ratio IT</t>
  </si>
  <si>
    <t>PORTUGAL</t>
  </si>
  <si>
    <t>SPAIN</t>
  </si>
  <si>
    <t>US</t>
  </si>
  <si>
    <t>UK</t>
  </si>
  <si>
    <t>FRANCE</t>
  </si>
  <si>
    <t>GERMANY</t>
  </si>
  <si>
    <t>ITALY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</si>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</sst>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PORTUGAL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Hoja2!$A$2:$A$23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Hoja2!$B$2:$B$23</c:f>
              <c:numCache>
                <c:formatCode>General</c:formatCode>
                <c:ptCount val="22"/>
                <c:pt idx="0">
                  <c:v>5.1717032052073342E-2</c:v>
                </c:pt>
                <c:pt idx="1">
                  <c:v>5.2268554752870421E-2</c:v>
                </c:pt>
                <c:pt idx="2">
                  <c:v>5.2651518510759381E-2</c:v>
                </c:pt>
                <c:pt idx="3">
                  <c:v>5.2944725185007882E-2</c:v>
                </c:pt>
                <c:pt idx="4">
                  <c:v>5.2509531275979113E-2</c:v>
                </c:pt>
                <c:pt idx="5">
                  <c:v>5.2991864391034184E-2</c:v>
                </c:pt>
                <c:pt idx="6">
                  <c:v>5.3074683143916654E-2</c:v>
                </c:pt>
                <c:pt idx="7">
                  <c:v>5.3972534037691235E-2</c:v>
                </c:pt>
                <c:pt idx="8">
                  <c:v>5.5751940170905692E-2</c:v>
                </c:pt>
                <c:pt idx="9">
                  <c:v>5.5983888040565012E-2</c:v>
                </c:pt>
                <c:pt idx="10">
                  <c:v>5.5827073279840801E-2</c:v>
                </c:pt>
                <c:pt idx="11">
                  <c:v>5.6578045282769461E-2</c:v>
                </c:pt>
                <c:pt idx="12">
                  <c:v>5.7160944023827286E-2</c:v>
                </c:pt>
                <c:pt idx="13">
                  <c:v>5.7390854431346616E-2</c:v>
                </c:pt>
                <c:pt idx="14">
                  <c:v>5.7697766615625694E-2</c:v>
                </c:pt>
                <c:pt idx="15">
                  <c:v>5.7760076832138976E-2</c:v>
                </c:pt>
                <c:pt idx="16">
                  <c:v>5.8488075109159328E-2</c:v>
                </c:pt>
                <c:pt idx="17">
                  <c:v>5.9632774155948559E-2</c:v>
                </c:pt>
                <c:pt idx="18">
                  <c:v>6.0903373711931032E-2</c:v>
                </c:pt>
                <c:pt idx="19">
                  <c:v>6.3252921696296177E-2</c:v>
                </c:pt>
                <c:pt idx="20">
                  <c:v>6.4182795273453205E-2</c:v>
                </c:pt>
                <c:pt idx="21">
                  <c:v>6.5924597710721802E-2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F-4C63-B442-38642B8791A6}"/>
            </c:ext>
          </c:extLst>
        </c:ser>
        <c:ser>
          <c:idx val="1"/>
          <c:order val="1"/>
          <c:tx>
            <c:strRef>
              <c:f>Hoja2!$C$1</c:f>
              <c:strCache>
                <c:ptCount val="1"/>
                <c:pt idx="0">
                  <c:v>SPAIN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Hoja2!$A$2:$A$23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Hoja2!$C$2:$C$23</c:f>
              <c:numCache>
                <c:formatCode>General</c:formatCode>
                <c:ptCount val="22"/>
                <c:pt idx="0">
                  <c:v>5.3468361553438599E-2</c:v>
                </c:pt>
                <c:pt idx="1">
                  <c:v>5.3809239032232413E-2</c:v>
                </c:pt>
                <c:pt idx="2">
                  <c:v>5.4364274775982248E-2</c:v>
                </c:pt>
                <c:pt idx="3">
                  <c:v>5.494249687320811E-2</c:v>
                </c:pt>
                <c:pt idx="4">
                  <c:v>5.5286164499468715E-2</c:v>
                </c:pt>
                <c:pt idx="5">
                  <c:v>5.6005697264353359E-2</c:v>
                </c:pt>
                <c:pt idx="6">
                  <c:v>5.7289807536881412E-2</c:v>
                </c:pt>
                <c:pt idx="7">
                  <c:v>5.8641090947705012E-2</c:v>
                </c:pt>
                <c:pt idx="8">
                  <c:v>5.9765750272944021E-2</c:v>
                </c:pt>
                <c:pt idx="9">
                  <c:v>6.0974501136014152E-2</c:v>
                </c:pt>
                <c:pt idx="10">
                  <c:v>6.1128688569178316E-2</c:v>
                </c:pt>
                <c:pt idx="11">
                  <c:v>6.0999031193280435E-2</c:v>
                </c:pt>
                <c:pt idx="12">
                  <c:v>6.1060633252091989E-2</c:v>
                </c:pt>
                <c:pt idx="13">
                  <c:v>6.1050267587686932E-2</c:v>
                </c:pt>
                <c:pt idx="14">
                  <c:v>6.2142634868821101E-2</c:v>
                </c:pt>
                <c:pt idx="15">
                  <c:v>6.316551080242308E-2</c:v>
                </c:pt>
                <c:pt idx="16">
                  <c:v>6.4807848752014036E-2</c:v>
                </c:pt>
                <c:pt idx="17">
                  <c:v>6.6001336277819983E-2</c:v>
                </c:pt>
                <c:pt idx="18">
                  <c:v>6.6397328156844848E-2</c:v>
                </c:pt>
                <c:pt idx="19">
                  <c:v>6.677367161752927E-2</c:v>
                </c:pt>
                <c:pt idx="20">
                  <c:v>6.6259573375216804E-2</c:v>
                </c:pt>
                <c:pt idx="21">
                  <c:v>6.7894655374832205E-2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BF-4C63-B442-38642B8791A6}"/>
            </c:ext>
          </c:extLst>
        </c:ser>
        <c:ser>
          <c:idx val="2"/>
          <c:order val="2"/>
          <c:tx>
            <c:strRef>
              <c:f>Hoja2!$D$1</c:f>
              <c:strCache>
                <c:ptCount val="1"/>
                <c:pt idx="0">
                  <c:v>US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Hoja2!$A$2:$A$23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Hoja2!$D$2:$D$23</c:f>
              <c:numCache>
                <c:formatCode>General</c:formatCode>
                <c:ptCount val="22"/>
                <c:pt idx="0">
                  <c:v>0.15997089296809661</c:v>
                </c:pt>
                <c:pt idx="1">
                  <c:v>0.16214790744175497</c:v>
                </c:pt>
                <c:pt idx="2">
                  <c:v>0.16282420783067619</c:v>
                </c:pt>
                <c:pt idx="3">
                  <c:v>0.1641806374093808</c:v>
                </c:pt>
                <c:pt idx="4">
                  <c:v>0.16482620041032953</c:v>
                </c:pt>
                <c:pt idx="5">
                  <c:v>0.16596983052884257</c:v>
                </c:pt>
                <c:pt idx="6">
                  <c:v>0.16698929087958078</c:v>
                </c:pt>
                <c:pt idx="7">
                  <c:v>0.16899393258953896</c:v>
                </c:pt>
                <c:pt idx="8">
                  <c:v>0.17130566719989124</c:v>
                </c:pt>
                <c:pt idx="9">
                  <c:v>0.17118836736144058</c:v>
                </c:pt>
                <c:pt idx="10">
                  <c:v>0.17275789740896116</c:v>
                </c:pt>
                <c:pt idx="11">
                  <c:v>0.17626334038874608</c:v>
                </c:pt>
                <c:pt idx="12">
                  <c:v>0.18002372703399874</c:v>
                </c:pt>
                <c:pt idx="13">
                  <c:v>0.18325135279447899</c:v>
                </c:pt>
                <c:pt idx="14">
                  <c:v>0.18742998269045935</c:v>
                </c:pt>
                <c:pt idx="15">
                  <c:v>0.18934341554177825</c:v>
                </c:pt>
                <c:pt idx="16">
                  <c:v>0.19130851473438165</c:v>
                </c:pt>
                <c:pt idx="17">
                  <c:v>0.19461092689043546</c:v>
                </c:pt>
                <c:pt idx="18">
                  <c:v>0.19950079643107319</c:v>
                </c:pt>
                <c:pt idx="19">
                  <c:v>0.20514624280769048</c:v>
                </c:pt>
                <c:pt idx="20">
                  <c:v>0.20926026425919655</c:v>
                </c:pt>
                <c:pt idx="21">
                  <c:v>0.21651771027093181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BF-4C63-B442-38642B8791A6}"/>
            </c:ext>
          </c:extLst>
        </c:ser>
        <c:ser>
          <c:idx val="3"/>
          <c:order val="3"/>
          <c:tx>
            <c:strRef>
              <c:f>Hoja2!$E$1</c:f>
              <c:strCache>
                <c:ptCount val="1"/>
                <c:pt idx="0">
                  <c:v>UK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Hoja2!$A$2:$A$23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Hoja2!$E$2:$E$23</c:f>
              <c:numCache>
                <c:formatCode>General</c:formatCode>
                <c:ptCount val="22"/>
                <c:pt idx="0">
                  <c:v>0.14618512921938048</c:v>
                </c:pt>
                <c:pt idx="1">
                  <c:v>0.14870618928813062</c:v>
                </c:pt>
                <c:pt idx="2">
                  <c:v>0.14700472794045027</c:v>
                </c:pt>
                <c:pt idx="3">
                  <c:v>0.14800579878877584</c:v>
                </c:pt>
                <c:pt idx="4">
                  <c:v>0.15029928149809524</c:v>
                </c:pt>
                <c:pt idx="5">
                  <c:v>0.15575888119793799</c:v>
                </c:pt>
                <c:pt idx="6">
                  <c:v>0.16023218570776718</c:v>
                </c:pt>
                <c:pt idx="7">
                  <c:v>0.16578257858714335</c:v>
                </c:pt>
                <c:pt idx="8">
                  <c:v>0.16893806376343887</c:v>
                </c:pt>
                <c:pt idx="9">
                  <c:v>0.17023468848027506</c:v>
                </c:pt>
                <c:pt idx="10">
                  <c:v>0.17169383140400124</c:v>
                </c:pt>
                <c:pt idx="11">
                  <c:v>0.17553606259135651</c:v>
                </c:pt>
                <c:pt idx="12">
                  <c:v>0.18075233314593053</c:v>
                </c:pt>
                <c:pt idx="13">
                  <c:v>0.18770473321116846</c:v>
                </c:pt>
                <c:pt idx="14">
                  <c:v>0.1934019337815493</c:v>
                </c:pt>
                <c:pt idx="15">
                  <c:v>0.19772464167943798</c:v>
                </c:pt>
                <c:pt idx="16">
                  <c:v>0.19968180157833343</c:v>
                </c:pt>
                <c:pt idx="17">
                  <c:v>0.20211506263734333</c:v>
                </c:pt>
                <c:pt idx="18">
                  <c:v>0.20549912764592043</c:v>
                </c:pt>
                <c:pt idx="19">
                  <c:v>0.21031068662636118</c:v>
                </c:pt>
                <c:pt idx="20">
                  <c:v>0.21342735052919209</c:v>
                </c:pt>
                <c:pt idx="21">
                  <c:v>0.21407923158635911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BF-4C63-B442-38642B8791A6}"/>
            </c:ext>
          </c:extLst>
        </c:ser>
        <c:ser>
          <c:idx val="4"/>
          <c:order val="4"/>
          <c:tx>
            <c:strRef>
              <c:f>Hoja2!$F$1</c:f>
              <c:strCache>
                <c:ptCount val="1"/>
                <c:pt idx="0">
                  <c:v>FRANCE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Hoja2!$A$2:$A$23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Hoja2!$F$2:$F$23</c:f>
              <c:numCache>
                <c:formatCode>General</c:formatCode>
                <c:ptCount val="22"/>
                <c:pt idx="0">
                  <c:v>0.10067255519222114</c:v>
                </c:pt>
                <c:pt idx="1">
                  <c:v>0.10191373466309919</c:v>
                </c:pt>
                <c:pt idx="2">
                  <c:v>0.10363956346328311</c:v>
                </c:pt>
                <c:pt idx="3">
                  <c:v>0.10519889892997711</c:v>
                </c:pt>
                <c:pt idx="4">
                  <c:v>0.1076053095682306</c:v>
                </c:pt>
                <c:pt idx="5">
                  <c:v>0.10948642191926082</c:v>
                </c:pt>
                <c:pt idx="6">
                  <c:v>0.11166027829093129</c:v>
                </c:pt>
                <c:pt idx="7">
                  <c:v>0.11340941712576622</c:v>
                </c:pt>
                <c:pt idx="8">
                  <c:v>0.11591892753795931</c:v>
                </c:pt>
                <c:pt idx="9">
                  <c:v>0.11564664283491324</c:v>
                </c:pt>
                <c:pt idx="10">
                  <c:v>0.11710282792980974</c:v>
                </c:pt>
                <c:pt idx="11">
                  <c:v>0.11915335339089692</c:v>
                </c:pt>
                <c:pt idx="12">
                  <c:v>0.12095685734692424</c:v>
                </c:pt>
                <c:pt idx="13">
                  <c:v>0.12157718096827609</c:v>
                </c:pt>
                <c:pt idx="14">
                  <c:v>0.12263835980954084</c:v>
                </c:pt>
                <c:pt idx="15">
                  <c:v>0.12294492087762834</c:v>
                </c:pt>
                <c:pt idx="16">
                  <c:v>0.12374678465087681</c:v>
                </c:pt>
                <c:pt idx="17">
                  <c:v>0.12639320139109236</c:v>
                </c:pt>
                <c:pt idx="18">
                  <c:v>0.12901232393651485</c:v>
                </c:pt>
                <c:pt idx="19">
                  <c:v>0.13093960161914797</c:v>
                </c:pt>
                <c:pt idx="20">
                  <c:v>0.13091736472976181</c:v>
                </c:pt>
                <c:pt idx="21">
                  <c:v>0.13584193465433492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BF-4C63-B442-38642B8791A6}"/>
            </c:ext>
          </c:extLst>
        </c:ser>
        <c:ser>
          <c:idx val="5"/>
          <c:order val="5"/>
          <c:tx>
            <c:strRef>
              <c:f>Hoja2!$G$1</c:f>
              <c:strCache>
                <c:ptCount val="1"/>
                <c:pt idx="0">
                  <c:v>GERMANY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Hoja2!$A$2:$A$23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Hoja2!$G$2:$G$23</c:f>
              <c:numCache>
                <c:formatCode>General</c:formatCode>
                <c:ptCount val="22"/>
                <c:pt idx="0">
                  <c:v>8.2102325414878108E-2</c:v>
                </c:pt>
                <c:pt idx="1">
                  <c:v>8.358049459397647E-2</c:v>
                </c:pt>
                <c:pt idx="2">
                  <c:v>8.4738640066016321E-2</c:v>
                </c:pt>
                <c:pt idx="3">
                  <c:v>8.5390427740088135E-2</c:v>
                </c:pt>
                <c:pt idx="4">
                  <c:v>8.6014995590254828E-2</c:v>
                </c:pt>
                <c:pt idx="5">
                  <c:v>8.6633448611416336E-2</c:v>
                </c:pt>
                <c:pt idx="6">
                  <c:v>8.7467603490030785E-2</c:v>
                </c:pt>
                <c:pt idx="7">
                  <c:v>8.8672521559739731E-2</c:v>
                </c:pt>
                <c:pt idx="8">
                  <c:v>9.0230574865893823E-2</c:v>
                </c:pt>
                <c:pt idx="9">
                  <c:v>9.1230017048911899E-2</c:v>
                </c:pt>
                <c:pt idx="10">
                  <c:v>9.2147315051232748E-2</c:v>
                </c:pt>
                <c:pt idx="11">
                  <c:v>9.4179898138330165E-2</c:v>
                </c:pt>
                <c:pt idx="12">
                  <c:v>9.6147379913235423E-2</c:v>
                </c:pt>
                <c:pt idx="13">
                  <c:v>9.7958791606735526E-2</c:v>
                </c:pt>
                <c:pt idx="14">
                  <c:v>0.10007939191285221</c:v>
                </c:pt>
                <c:pt idx="15">
                  <c:v>0.10285718737819875</c:v>
                </c:pt>
                <c:pt idx="16">
                  <c:v>0.10542158558139175</c:v>
                </c:pt>
                <c:pt idx="17">
                  <c:v>0.10831384291114445</c:v>
                </c:pt>
                <c:pt idx="18">
                  <c:v>0.11102595488103248</c:v>
                </c:pt>
                <c:pt idx="19">
                  <c:v>0.11428801786684908</c:v>
                </c:pt>
                <c:pt idx="20">
                  <c:v>0.11657491073032149</c:v>
                </c:pt>
                <c:pt idx="21">
                  <c:v>0.11912400014067326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BF-4C63-B442-38642B8791A6}"/>
            </c:ext>
          </c:extLst>
        </c:ser>
        <c:ser>
          <c:idx val="6"/>
          <c:order val="6"/>
          <c:tx>
            <c:strRef>
              <c:f>Hoja2!$H$1</c:f>
              <c:strCache>
                <c:ptCount val="1"/>
                <c:pt idx="0">
                  <c:v>ITALY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Hoja2!$A$2:$A$23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Hoja2!$H$2:$H$23</c:f>
              <c:numCache>
                <c:formatCode>General</c:formatCode>
                <c:ptCount val="22"/>
                <c:pt idx="0">
                  <c:v>7.5068530571855405E-2</c:v>
                </c:pt>
                <c:pt idx="1">
                  <c:v>7.6507303617505656E-2</c:v>
                </c:pt>
                <c:pt idx="2">
                  <c:v>7.7347718799691642E-2</c:v>
                </c:pt>
                <c:pt idx="3">
                  <c:v>7.7491778258356431E-2</c:v>
                </c:pt>
                <c:pt idx="4">
                  <c:v>7.6517110897935878E-2</c:v>
                </c:pt>
                <c:pt idx="5">
                  <c:v>7.5252120344594609E-2</c:v>
                </c:pt>
                <c:pt idx="6">
                  <c:v>7.4400660304328098E-2</c:v>
                </c:pt>
                <c:pt idx="7">
                  <c:v>7.396557596428012E-2</c:v>
                </c:pt>
                <c:pt idx="8">
                  <c:v>7.3362154656120962E-2</c:v>
                </c:pt>
                <c:pt idx="9">
                  <c:v>7.2672944067058529E-2</c:v>
                </c:pt>
                <c:pt idx="10">
                  <c:v>7.2426172867236308E-2</c:v>
                </c:pt>
                <c:pt idx="11">
                  <c:v>7.2019806060500305E-2</c:v>
                </c:pt>
                <c:pt idx="12">
                  <c:v>7.1948226224697209E-2</c:v>
                </c:pt>
                <c:pt idx="13">
                  <c:v>7.2203020490394731E-2</c:v>
                </c:pt>
                <c:pt idx="14">
                  <c:v>7.3121098330078085E-2</c:v>
                </c:pt>
                <c:pt idx="15">
                  <c:v>7.4080558898949822E-2</c:v>
                </c:pt>
                <c:pt idx="16">
                  <c:v>7.5963397015615497E-2</c:v>
                </c:pt>
                <c:pt idx="17">
                  <c:v>7.7531205801186803E-2</c:v>
                </c:pt>
                <c:pt idx="18">
                  <c:v>7.9511135957231735E-2</c:v>
                </c:pt>
                <c:pt idx="19">
                  <c:v>8.1946306291532184E-2</c:v>
                </c:pt>
                <c:pt idx="20">
                  <c:v>8.3255012562956809E-2</c:v>
                </c:pt>
                <c:pt idx="21">
                  <c:v>8.534250683098725E-2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BF-4C63-B442-38642B879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89952"/>
        <c:axId val="1766945312"/>
      </c:lineChart>
      <c:catAx>
        <c:axId val="17669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6945312"/>
        <c:crosses val="autoZero"/>
        <c:auto val="1"/>
        <c:lblAlgn val="ctr"/>
        <c:lblOffset val="100"/>
        <c:noMultiLvlLbl val="0"/>
      </c:catAx>
      <c:valAx>
        <c:axId val="17669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6989952"/>
        <c:crosses val="autoZero"/>
        <c:crossBetween val="between"/>
        <c:majorUnit val="1.0000000000000002E-2"/>
      </c:valAx>
      <c:spPr>
        <a:noFill/>
        <a:ln w="0">
          <a:solidFill>
            <a:schemeClr val="accent4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7620</xdr:rowOff>
    </xdr:from>
    <xdr:to>
      <xdr:col>9</xdr:col>
      <xdr:colOff>7620</xdr:colOff>
      <xdr:row>3</xdr:row>
      <xdr:rowOff>175260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A6D40B8-A8BD-46AB-89AC-0E4169E93FDE}"/>
            </a:ext>
          </a:extLst>
        </xdr:cNvPr>
        <xdr:cNvSpPr txBox="1"/>
      </xdr:nvSpPr>
      <xdr:spPr>
        <a:xfrm>
          <a:off x="800100" y="190500"/>
          <a:ext cx="633984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Data from EUKLEMS-INTANPROD. The variables are the total net stocks of Tangible and Intangible capital in chained linked volumes (2020), millions of national currency, aggregatin all NACE industries.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739140</xdr:colOff>
      <xdr:row>2</xdr:row>
      <xdr:rowOff>175260</xdr:rowOff>
    </xdr:from>
    <xdr:to>
      <xdr:col>17</xdr:col>
      <xdr:colOff>38100</xdr:colOff>
      <xdr:row>21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794964-D9A2-E7D4-E8FF-CD671C33E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D677-68D0-4532-87F4-F249E9966E00}">
  <dimension ref="A6:V30"/>
  <sheetViews>
    <sheetView workbookViewId="0">
      <selection activeCell="K3" sqref="K3"/>
    </sheetView>
  </sheetViews>
  <sheetFormatPr baseColWidth="10" defaultRowHeight="14.4" x14ac:dyDescent="0.3"/>
  <sheetData>
    <row r="6" spans="1:22" x14ac:dyDescent="0.3">
      <c r="B6" t="s">
        <v>1</v>
      </c>
      <c r="C6" t="s">
        <v>0</v>
      </c>
      <c r="D6" t="s">
        <v>2</v>
      </c>
      <c r="E6" t="s">
        <v>4</v>
      </c>
      <c r="F6" t="s">
        <v>3</v>
      </c>
      <c r="G6" t="s">
        <v>5</v>
      </c>
      <c r="H6" t="s">
        <v>7</v>
      </c>
      <c r="I6" t="s">
        <v>6</v>
      </c>
      <c r="J6" t="s">
        <v>8</v>
      </c>
      <c r="K6" t="s">
        <v>9</v>
      </c>
      <c r="L6" t="s">
        <v>10</v>
      </c>
      <c r="M6" t="s">
        <v>11</v>
      </c>
      <c r="N6" t="s">
        <v>13</v>
      </c>
      <c r="O6" t="s">
        <v>12</v>
      </c>
      <c r="P6" t="s">
        <v>14</v>
      </c>
      <c r="Q6" t="s">
        <v>16</v>
      </c>
      <c r="R6" t="s">
        <v>15</v>
      </c>
      <c r="S6" t="s">
        <v>17</v>
      </c>
      <c r="T6" t="s">
        <v>19</v>
      </c>
      <c r="U6" t="s">
        <v>20</v>
      </c>
      <c r="V6" t="s">
        <v>21</v>
      </c>
    </row>
    <row r="7" spans="1:22" x14ac:dyDescent="0.3">
      <c r="A7">
        <v>2000</v>
      </c>
      <c r="B7">
        <v>35281.658748365699</v>
      </c>
      <c r="C7">
        <v>682205.790789405</v>
      </c>
      <c r="D7">
        <f>B7/C7</f>
        <v>5.1717032052073342E-2</v>
      </c>
      <c r="E7">
        <v>146650.81029920399</v>
      </c>
      <c r="F7">
        <v>2742758.6340500601</v>
      </c>
      <c r="G7">
        <f>E7/F7</f>
        <v>5.3468361553438599E-2</v>
      </c>
      <c r="H7">
        <v>6645916.8799267104</v>
      </c>
      <c r="I7">
        <v>41544538.238291398</v>
      </c>
      <c r="J7">
        <f>H7/I7</f>
        <v>0.15997089296809661</v>
      </c>
      <c r="K7">
        <v>471847.57421091001</v>
      </c>
      <c r="L7">
        <v>3227739.8989250599</v>
      </c>
      <c r="M7">
        <f>K7/L7</f>
        <v>0.14618512921938048</v>
      </c>
      <c r="N7">
        <v>786504.38077117805</v>
      </c>
      <c r="O7">
        <v>7812500.4304246604</v>
      </c>
      <c r="P7">
        <f>N7/O7</f>
        <v>0.10067255519222114</v>
      </c>
      <c r="Q7">
        <v>788304.77950030705</v>
      </c>
      <c r="R7">
        <v>9601491.4987713005</v>
      </c>
      <c r="S7">
        <f>Q7/R7</f>
        <v>8.2102325414878108E-2</v>
      </c>
      <c r="T7">
        <v>377009.650228018</v>
      </c>
      <c r="U7">
        <v>5022206.3407401498</v>
      </c>
      <c r="V7">
        <f>T7/U7</f>
        <v>7.5068530571855405E-2</v>
      </c>
    </row>
    <row r="8" spans="1:22" x14ac:dyDescent="0.3">
      <c r="A8">
        <v>2001</v>
      </c>
      <c r="B8">
        <v>36895.316572296899</v>
      </c>
      <c r="C8">
        <v>705879.79229080805</v>
      </c>
      <c r="D8">
        <f t="shared" ref="D8:D28" si="0">B8/C8</f>
        <v>5.2268554752870421E-2</v>
      </c>
      <c r="E8">
        <v>153440.33682382901</v>
      </c>
      <c r="F8">
        <v>2851561.1739448002</v>
      </c>
      <c r="G8">
        <f t="shared" ref="G8:G28" si="1">E8/F8</f>
        <v>5.3809239032232413E-2</v>
      </c>
      <c r="H8">
        <v>6894918.5208022101</v>
      </c>
      <c r="I8">
        <v>42522402.105490804</v>
      </c>
      <c r="J8">
        <f t="shared" ref="J8:J28" si="2">H8/I8</f>
        <v>0.16214790744175497</v>
      </c>
      <c r="K8">
        <v>491677.29271578602</v>
      </c>
      <c r="L8">
        <v>3306367.3749525002</v>
      </c>
      <c r="M8">
        <f t="shared" ref="M8:M28" si="3">K8/L8</f>
        <v>0.14870618928813062</v>
      </c>
      <c r="N8">
        <v>800249.37961618404</v>
      </c>
      <c r="O8">
        <v>7852223.0812324202</v>
      </c>
      <c r="P8">
        <f t="shared" ref="P8:P28" si="4">N8/O8</f>
        <v>0.10191373466309919</v>
      </c>
      <c r="Q8">
        <v>815127.07747784501</v>
      </c>
      <c r="R8">
        <v>9752599.3527273294</v>
      </c>
      <c r="S8">
        <f t="shared" ref="S8:S28" si="5">Q8/R8</f>
        <v>8.358049459397647E-2</v>
      </c>
      <c r="T8">
        <v>392063.51760992903</v>
      </c>
      <c r="U8">
        <v>5124524.0528934402</v>
      </c>
      <c r="V8">
        <f t="shared" ref="V8:V28" si="6">T8/U8</f>
        <v>7.6507303617505656E-2</v>
      </c>
    </row>
    <row r="9" spans="1:22" x14ac:dyDescent="0.3">
      <c r="A9">
        <v>2002</v>
      </c>
      <c r="B9">
        <v>38306.856700625198</v>
      </c>
      <c r="C9">
        <v>727554.64199569402</v>
      </c>
      <c r="D9">
        <f t="shared" si="0"/>
        <v>5.2651518510759381E-2</v>
      </c>
      <c r="E9">
        <v>161076.12555142501</v>
      </c>
      <c r="F9">
        <v>2962903.9698435799</v>
      </c>
      <c r="G9">
        <f t="shared" si="1"/>
        <v>5.4364274775982248E-2</v>
      </c>
      <c r="H9">
        <v>7070645.1817370905</v>
      </c>
      <c r="I9">
        <v>43425024.300379097</v>
      </c>
      <c r="J9">
        <f t="shared" si="2"/>
        <v>0.16282420783067619</v>
      </c>
      <c r="K9">
        <v>497494.13928376901</v>
      </c>
      <c r="L9">
        <v>3384205.0269655101</v>
      </c>
      <c r="M9">
        <f t="shared" si="3"/>
        <v>0.14700472794045027</v>
      </c>
      <c r="N9">
        <v>814541.96745620097</v>
      </c>
      <c r="O9">
        <v>7859372.8132092403</v>
      </c>
      <c r="P9">
        <f t="shared" si="4"/>
        <v>0.10363956346328311</v>
      </c>
      <c r="Q9">
        <v>833577.01108310395</v>
      </c>
      <c r="R9">
        <v>9837035.5062778797</v>
      </c>
      <c r="S9">
        <f t="shared" si="5"/>
        <v>8.4738640066016321E-2</v>
      </c>
      <c r="T9">
        <v>404873.48227598</v>
      </c>
      <c r="U9">
        <v>5234459.2517910702</v>
      </c>
      <c r="V9">
        <f t="shared" si="6"/>
        <v>7.7347718799691642E-2</v>
      </c>
    </row>
    <row r="10" spans="1:22" x14ac:dyDescent="0.3">
      <c r="A10">
        <v>2003</v>
      </c>
      <c r="B10">
        <v>39320.961902678398</v>
      </c>
      <c r="C10">
        <v>742679.49763223506</v>
      </c>
      <c r="D10">
        <f t="shared" si="0"/>
        <v>5.2944725185007882E-2</v>
      </c>
      <c r="E10">
        <v>169364.34390381601</v>
      </c>
      <c r="F10">
        <v>3082574.5741891102</v>
      </c>
      <c r="G10">
        <f t="shared" si="1"/>
        <v>5.494249687320811E-2</v>
      </c>
      <c r="H10">
        <v>7283672.0760466103</v>
      </c>
      <c r="I10">
        <v>44363770.240975097</v>
      </c>
      <c r="J10">
        <f t="shared" si="2"/>
        <v>0.1641806374093808</v>
      </c>
      <c r="K10">
        <v>511507.74755271198</v>
      </c>
      <c r="L10">
        <v>3455998.0199336801</v>
      </c>
      <c r="M10">
        <f t="shared" si="3"/>
        <v>0.14800579878877584</v>
      </c>
      <c r="N10">
        <v>827263.90544651705</v>
      </c>
      <c r="O10">
        <v>7863807.6430549296</v>
      </c>
      <c r="P10">
        <f t="shared" si="4"/>
        <v>0.10519889892997711</v>
      </c>
      <c r="Q10">
        <v>846866.72873020405</v>
      </c>
      <c r="R10">
        <v>9917583.8690948095</v>
      </c>
      <c r="S10">
        <f t="shared" si="5"/>
        <v>8.5390427740088135E-2</v>
      </c>
      <c r="T10">
        <v>413587.61099748901</v>
      </c>
      <c r="U10">
        <v>5337180.54086453</v>
      </c>
      <c r="V10">
        <f t="shared" si="6"/>
        <v>7.7491778258356431E-2</v>
      </c>
    </row>
    <row r="11" spans="1:22" x14ac:dyDescent="0.3">
      <c r="A11">
        <v>2004</v>
      </c>
      <c r="B11">
        <v>39897.056533016199</v>
      </c>
      <c r="C11">
        <v>759805.99261733296</v>
      </c>
      <c r="D11">
        <f t="shared" si="0"/>
        <v>5.2509531275979113E-2</v>
      </c>
      <c r="E11">
        <v>177375.30644153099</v>
      </c>
      <c r="F11">
        <v>3208312.7496253699</v>
      </c>
      <c r="G11">
        <f t="shared" si="1"/>
        <v>5.5286164499468715E-2</v>
      </c>
      <c r="H11">
        <v>7476879.6607490499</v>
      </c>
      <c r="I11">
        <v>45362203.594668798</v>
      </c>
      <c r="J11">
        <f t="shared" si="2"/>
        <v>0.16482620041032953</v>
      </c>
      <c r="K11">
        <v>531128.24287804798</v>
      </c>
      <c r="L11">
        <v>3533804.27094576</v>
      </c>
      <c r="M11">
        <f t="shared" si="3"/>
        <v>0.15029928149809524</v>
      </c>
      <c r="N11">
        <v>841792.73361981602</v>
      </c>
      <c r="O11">
        <v>7822966.5152912401</v>
      </c>
      <c r="P11">
        <f t="shared" si="4"/>
        <v>0.1076053095682306</v>
      </c>
      <c r="Q11">
        <v>858453.66590656701</v>
      </c>
      <c r="R11">
        <v>9980279.1363954507</v>
      </c>
      <c r="S11">
        <f t="shared" si="5"/>
        <v>8.6014995590254828E-2</v>
      </c>
      <c r="T11">
        <v>416397.36279608001</v>
      </c>
      <c r="U11">
        <v>5441885.5849314705</v>
      </c>
      <c r="V11">
        <f t="shared" si="6"/>
        <v>7.6517110897935878E-2</v>
      </c>
    </row>
    <row r="12" spans="1:22" x14ac:dyDescent="0.3">
      <c r="A12">
        <v>2005</v>
      </c>
      <c r="B12">
        <v>40826.345275438201</v>
      </c>
      <c r="C12">
        <v>770426.663500175</v>
      </c>
      <c r="D12">
        <f t="shared" si="0"/>
        <v>5.2991864391034184E-2</v>
      </c>
      <c r="E12">
        <v>187373.19110517501</v>
      </c>
      <c r="F12">
        <v>3345609.4693500898</v>
      </c>
      <c r="G12">
        <f t="shared" si="1"/>
        <v>5.6005697264353359E-2</v>
      </c>
      <c r="H12">
        <v>7690993.6182651296</v>
      </c>
      <c r="I12">
        <v>46339708.811889</v>
      </c>
      <c r="J12">
        <f t="shared" si="2"/>
        <v>0.16596983052884257</v>
      </c>
      <c r="K12">
        <v>562220.676314538</v>
      </c>
      <c r="L12">
        <v>3609557.7471442502</v>
      </c>
      <c r="M12">
        <f t="shared" si="3"/>
        <v>0.15575888119793799</v>
      </c>
      <c r="N12">
        <v>854402.60355993104</v>
      </c>
      <c r="O12">
        <v>7803731.1712496905</v>
      </c>
      <c r="P12">
        <f t="shared" si="4"/>
        <v>0.10948642191926082</v>
      </c>
      <c r="Q12">
        <v>869911.13079844404</v>
      </c>
      <c r="R12">
        <v>10041284.8009817</v>
      </c>
      <c r="S12">
        <f t="shared" si="5"/>
        <v>8.6633448611416336E-2</v>
      </c>
      <c r="T12">
        <v>417321.65592402098</v>
      </c>
      <c r="U12">
        <v>5545646.4749833103</v>
      </c>
      <c r="V12">
        <f t="shared" si="6"/>
        <v>7.5252120344594609E-2</v>
      </c>
    </row>
    <row r="13" spans="1:22" x14ac:dyDescent="0.3">
      <c r="A13">
        <v>2006</v>
      </c>
      <c r="B13">
        <v>41390.4135574553</v>
      </c>
      <c r="C13">
        <v>779852.29690814298</v>
      </c>
      <c r="D13">
        <f t="shared" si="0"/>
        <v>5.3074683143916654E-2</v>
      </c>
      <c r="E13">
        <v>200182.69394524401</v>
      </c>
      <c r="F13">
        <v>3494211.3187650801</v>
      </c>
      <c r="G13">
        <f t="shared" si="1"/>
        <v>5.7289807536881412E-2</v>
      </c>
      <c r="H13">
        <v>7921313.8997563301</v>
      </c>
      <c r="I13">
        <v>47436059.270822003</v>
      </c>
      <c r="J13">
        <f t="shared" si="2"/>
        <v>0.16698929087958078</v>
      </c>
      <c r="K13">
        <v>590901.51543314697</v>
      </c>
      <c r="L13">
        <v>3687782.90593151</v>
      </c>
      <c r="M13">
        <f t="shared" si="3"/>
        <v>0.16023218570776718</v>
      </c>
      <c r="N13">
        <v>868805.30825600901</v>
      </c>
      <c r="O13">
        <v>7780791.1779722897</v>
      </c>
      <c r="P13">
        <f t="shared" si="4"/>
        <v>0.11166027829093129</v>
      </c>
      <c r="Q13">
        <v>886507.25442170596</v>
      </c>
      <c r="R13">
        <v>10135264.018325901</v>
      </c>
      <c r="S13">
        <f t="shared" si="5"/>
        <v>8.7467603490030785E-2</v>
      </c>
      <c r="T13">
        <v>420609.095710102</v>
      </c>
      <c r="U13">
        <v>5653297.8872720301</v>
      </c>
      <c r="V13">
        <f t="shared" si="6"/>
        <v>7.4400660304328098E-2</v>
      </c>
    </row>
    <row r="14" spans="1:22" x14ac:dyDescent="0.3">
      <c r="A14">
        <v>2007</v>
      </c>
      <c r="B14">
        <v>42802.935952610998</v>
      </c>
      <c r="C14">
        <v>793050.33042769402</v>
      </c>
      <c r="D14">
        <f t="shared" si="0"/>
        <v>5.3972534037691235E-2</v>
      </c>
      <c r="E14">
        <v>213755.57793875501</v>
      </c>
      <c r="F14">
        <v>3645150.0898811398</v>
      </c>
      <c r="G14">
        <f t="shared" si="1"/>
        <v>5.8641090947705012E-2</v>
      </c>
      <c r="H14">
        <v>8177159.8796141502</v>
      </c>
      <c r="I14">
        <v>48387298.610745102</v>
      </c>
      <c r="J14">
        <f t="shared" si="2"/>
        <v>0.16899393258953896</v>
      </c>
      <c r="K14">
        <v>625249.220051346</v>
      </c>
      <c r="L14">
        <v>3771501.3566560298</v>
      </c>
      <c r="M14">
        <f t="shared" si="3"/>
        <v>0.16578257858714335</v>
      </c>
      <c r="N14">
        <v>882759.68189622695</v>
      </c>
      <c r="O14">
        <v>7783830.5166253</v>
      </c>
      <c r="P14">
        <f t="shared" si="4"/>
        <v>0.11340941712576622</v>
      </c>
      <c r="Q14">
        <v>908426.03266261402</v>
      </c>
      <c r="R14">
        <v>10244729.8969681</v>
      </c>
      <c r="S14">
        <f t="shared" si="5"/>
        <v>8.8672521559739731E-2</v>
      </c>
      <c r="T14">
        <v>426047.313245547</v>
      </c>
      <c r="U14">
        <v>5760075.6526427399</v>
      </c>
      <c r="V14">
        <f t="shared" si="6"/>
        <v>7.396557596428012E-2</v>
      </c>
    </row>
    <row r="15" spans="1:22" x14ac:dyDescent="0.3">
      <c r="A15">
        <v>2008</v>
      </c>
      <c r="B15">
        <v>44946.269047879701</v>
      </c>
      <c r="C15">
        <v>806183.04780243395</v>
      </c>
      <c r="D15">
        <f t="shared" si="0"/>
        <v>5.5751940170905692E-2</v>
      </c>
      <c r="E15">
        <v>225654.62361003799</v>
      </c>
      <c r="F15">
        <v>3775651.1476806798</v>
      </c>
      <c r="G15">
        <f t="shared" si="1"/>
        <v>5.9765750272944021E-2</v>
      </c>
      <c r="H15">
        <v>8406573.3381621595</v>
      </c>
      <c r="I15">
        <v>49073527.312746704</v>
      </c>
      <c r="J15">
        <f t="shared" si="2"/>
        <v>0.17130566719989124</v>
      </c>
      <c r="K15">
        <v>646723.47782490496</v>
      </c>
      <c r="L15">
        <v>3828169.1136847702</v>
      </c>
      <c r="M15">
        <f t="shared" si="3"/>
        <v>0.16893806376343887</v>
      </c>
      <c r="N15">
        <v>897625.38011741801</v>
      </c>
      <c r="O15">
        <v>7743561.80808762</v>
      </c>
      <c r="P15">
        <f t="shared" si="4"/>
        <v>0.11591892753795931</v>
      </c>
      <c r="Q15">
        <v>932527.47117456701</v>
      </c>
      <c r="R15">
        <v>10334938.8226834</v>
      </c>
      <c r="S15">
        <f t="shared" si="5"/>
        <v>9.0230574865893823E-2</v>
      </c>
      <c r="T15">
        <v>428972.09056101303</v>
      </c>
      <c r="U15">
        <v>5847321.3139906302</v>
      </c>
      <c r="V15">
        <f t="shared" si="6"/>
        <v>7.3362154656120962E-2</v>
      </c>
    </row>
    <row r="16" spans="1:22" x14ac:dyDescent="0.3">
      <c r="A16">
        <v>2009</v>
      </c>
      <c r="B16">
        <v>45607.255328723302</v>
      </c>
      <c r="C16">
        <v>814649.65948197502</v>
      </c>
      <c r="D16">
        <f t="shared" si="0"/>
        <v>5.5983888040565012E-2</v>
      </c>
      <c r="E16">
        <v>235133.90427860699</v>
      </c>
      <c r="F16">
        <v>3856266.1423682701</v>
      </c>
      <c r="G16">
        <f t="shared" si="1"/>
        <v>6.0974501136014152E-2</v>
      </c>
      <c r="H16">
        <v>8448670.3664289806</v>
      </c>
      <c r="I16">
        <v>49353063.509220697</v>
      </c>
      <c r="J16">
        <f t="shared" si="2"/>
        <v>0.17118836736144058</v>
      </c>
      <c r="K16">
        <v>652806.90674638504</v>
      </c>
      <c r="L16">
        <v>3834746.6816202099</v>
      </c>
      <c r="M16">
        <f t="shared" si="3"/>
        <v>0.17023468848027506</v>
      </c>
      <c r="N16">
        <v>902046.93997049995</v>
      </c>
      <c r="O16">
        <v>7800027.0293896999</v>
      </c>
      <c r="P16">
        <f t="shared" si="4"/>
        <v>0.11564664283491324</v>
      </c>
      <c r="Q16">
        <v>944268.79207653704</v>
      </c>
      <c r="R16">
        <v>10350417.796921801</v>
      </c>
      <c r="S16">
        <f t="shared" si="5"/>
        <v>9.1230017048911899E-2</v>
      </c>
      <c r="T16">
        <v>428361.29258224502</v>
      </c>
      <c r="U16">
        <v>5894370.9805808496</v>
      </c>
      <c r="V16">
        <f t="shared" si="6"/>
        <v>7.2672944067058529E-2</v>
      </c>
    </row>
    <row r="17" spans="1:22" x14ac:dyDescent="0.3">
      <c r="A17">
        <v>2010</v>
      </c>
      <c r="B17">
        <v>45862.648028351403</v>
      </c>
      <c r="C17">
        <v>821512.669998992</v>
      </c>
      <c r="D17">
        <f t="shared" si="0"/>
        <v>5.5827073279840801E-2</v>
      </c>
      <c r="E17">
        <v>239612.60887524</v>
      </c>
      <c r="F17">
        <v>3919806.14149892</v>
      </c>
      <c r="G17">
        <f t="shared" si="1"/>
        <v>6.1128688569178316E-2</v>
      </c>
      <c r="H17">
        <v>8576224.9593410697</v>
      </c>
      <c r="I17">
        <v>49643026.964139298</v>
      </c>
      <c r="J17">
        <f t="shared" si="2"/>
        <v>0.17275789740896116</v>
      </c>
      <c r="K17">
        <v>660779.66496591805</v>
      </c>
      <c r="L17">
        <v>3848592.9259222001</v>
      </c>
      <c r="M17">
        <f t="shared" si="3"/>
        <v>0.17169383140400124</v>
      </c>
      <c r="N17">
        <v>912882.21744253498</v>
      </c>
      <c r="O17">
        <v>7795560.8210393302</v>
      </c>
      <c r="P17">
        <f t="shared" si="4"/>
        <v>0.11710282792980974</v>
      </c>
      <c r="Q17">
        <v>957555.33265442401</v>
      </c>
      <c r="R17">
        <v>10391570.6292911</v>
      </c>
      <c r="S17">
        <f t="shared" si="5"/>
        <v>9.2147315051232748E-2</v>
      </c>
      <c r="T17">
        <v>429896.38144839002</v>
      </c>
      <c r="U17">
        <v>5935649.5646460401</v>
      </c>
      <c r="V17">
        <f t="shared" si="6"/>
        <v>7.2426172867236308E-2</v>
      </c>
    </row>
    <row r="18" spans="1:22" x14ac:dyDescent="0.3">
      <c r="A18">
        <v>2011</v>
      </c>
      <c r="B18">
        <v>46528.720040926899</v>
      </c>
      <c r="C18">
        <v>822381.18705555506</v>
      </c>
      <c r="D18">
        <f t="shared" si="0"/>
        <v>5.6578045282769461E-2</v>
      </c>
      <c r="E18">
        <v>241872.087081381</v>
      </c>
      <c r="F18">
        <v>3965179.1569441399</v>
      </c>
      <c r="G18">
        <f t="shared" si="1"/>
        <v>6.0999031193280435E-2</v>
      </c>
      <c r="H18">
        <v>8808378.3986889292</v>
      </c>
      <c r="I18">
        <v>49972832.576882899</v>
      </c>
      <c r="J18">
        <f t="shared" si="2"/>
        <v>0.17626334038874608</v>
      </c>
      <c r="K18">
        <v>677033.38502665004</v>
      </c>
      <c r="L18">
        <v>3856947.5413309601</v>
      </c>
      <c r="M18">
        <f t="shared" si="3"/>
        <v>0.17553606259135651</v>
      </c>
      <c r="N18">
        <v>924328.78176915203</v>
      </c>
      <c r="O18">
        <v>7757471.8248741198</v>
      </c>
      <c r="P18">
        <f t="shared" si="4"/>
        <v>0.11915335339089692</v>
      </c>
      <c r="Q18">
        <v>983757.843866479</v>
      </c>
      <c r="R18">
        <v>10445518.2402252</v>
      </c>
      <c r="S18">
        <f t="shared" si="5"/>
        <v>9.4179898138330165E-2</v>
      </c>
      <c r="T18">
        <v>429939.89362009597</v>
      </c>
      <c r="U18">
        <v>5969745.22895722</v>
      </c>
      <c r="V18">
        <f t="shared" si="6"/>
        <v>7.2019806060500305E-2</v>
      </c>
    </row>
    <row r="19" spans="1:22" x14ac:dyDescent="0.3">
      <c r="A19">
        <v>2012</v>
      </c>
      <c r="B19">
        <v>46052.338278094801</v>
      </c>
      <c r="C19">
        <v>805660.91173893295</v>
      </c>
      <c r="D19">
        <f t="shared" si="0"/>
        <v>5.7160944023827286E-2</v>
      </c>
      <c r="E19">
        <v>243877.69688278099</v>
      </c>
      <c r="F19">
        <v>3994025.0189662999</v>
      </c>
      <c r="G19">
        <f t="shared" si="1"/>
        <v>6.1060633252091989E-2</v>
      </c>
      <c r="H19">
        <v>9069426.2012067102</v>
      </c>
      <c r="I19">
        <v>50379060.308499701</v>
      </c>
      <c r="J19">
        <f t="shared" si="2"/>
        <v>0.18002372703399874</v>
      </c>
      <c r="K19">
        <v>698379.03826364502</v>
      </c>
      <c r="L19">
        <v>3863734.5704401401</v>
      </c>
      <c r="M19">
        <f t="shared" si="3"/>
        <v>0.18075233314593053</v>
      </c>
      <c r="N19">
        <v>937552.44547569996</v>
      </c>
      <c r="O19">
        <v>7751130.9903385201</v>
      </c>
      <c r="P19">
        <f t="shared" si="4"/>
        <v>0.12095685734692424</v>
      </c>
      <c r="Q19">
        <v>1010662.9192805</v>
      </c>
      <c r="R19">
        <v>10511601.2541635</v>
      </c>
      <c r="S19">
        <f t="shared" si="5"/>
        <v>9.6147379913235423E-2</v>
      </c>
      <c r="T19">
        <v>429428.16211348301</v>
      </c>
      <c r="U19">
        <v>5968571.9113124702</v>
      </c>
      <c r="V19">
        <f t="shared" si="6"/>
        <v>7.1948226224697209E-2</v>
      </c>
    </row>
    <row r="20" spans="1:22" x14ac:dyDescent="0.3">
      <c r="A20">
        <v>2013</v>
      </c>
      <c r="B20">
        <v>45595.649529840099</v>
      </c>
      <c r="C20">
        <v>794475.87915568601</v>
      </c>
      <c r="D20">
        <f t="shared" si="0"/>
        <v>5.7390854431346616E-2</v>
      </c>
      <c r="E20">
        <v>245087.81002631501</v>
      </c>
      <c r="F20">
        <v>4014524.7467473201</v>
      </c>
      <c r="G20">
        <f t="shared" si="1"/>
        <v>6.1050267587686932E-2</v>
      </c>
      <c r="H20">
        <v>9327110.3818377908</v>
      </c>
      <c r="I20">
        <v>50897907.380243897</v>
      </c>
      <c r="J20">
        <f t="shared" si="2"/>
        <v>0.18325135279447899</v>
      </c>
      <c r="K20">
        <v>728136.91295947996</v>
      </c>
      <c r="L20">
        <v>3879161.1724586799</v>
      </c>
      <c r="M20">
        <f t="shared" si="3"/>
        <v>0.18770473321116846</v>
      </c>
      <c r="N20">
        <v>948040.69480260299</v>
      </c>
      <c r="O20">
        <v>7797850.6102224998</v>
      </c>
      <c r="P20">
        <f t="shared" si="4"/>
        <v>0.12157718096827609</v>
      </c>
      <c r="Q20">
        <v>1033778.09737381</v>
      </c>
      <c r="R20">
        <v>10553193.6482435</v>
      </c>
      <c r="S20">
        <f t="shared" si="5"/>
        <v>9.7958791606735526E-2</v>
      </c>
      <c r="T20">
        <v>429382.55697287997</v>
      </c>
      <c r="U20">
        <v>5946878.03995681</v>
      </c>
      <c r="V20">
        <f t="shared" si="6"/>
        <v>7.2203020490394731E-2</v>
      </c>
    </row>
    <row r="21" spans="1:22" x14ac:dyDescent="0.3">
      <c r="A21">
        <v>2014</v>
      </c>
      <c r="B21">
        <v>45428.235372329102</v>
      </c>
      <c r="C21">
        <v>787348.24650953198</v>
      </c>
      <c r="D21">
        <f t="shared" si="0"/>
        <v>5.7697766615625694E-2</v>
      </c>
      <c r="E21">
        <v>251079.545644461</v>
      </c>
      <c r="F21">
        <v>4040374.9563318798</v>
      </c>
      <c r="G21">
        <f t="shared" si="1"/>
        <v>6.2142634868821101E-2</v>
      </c>
      <c r="H21">
        <v>9655648.1363999899</v>
      </c>
      <c r="I21">
        <v>51516027.466887698</v>
      </c>
      <c r="J21">
        <f t="shared" si="2"/>
        <v>0.18742998269045935</v>
      </c>
      <c r="K21">
        <v>756922.87729124201</v>
      </c>
      <c r="L21">
        <v>3913729.62250832</v>
      </c>
      <c r="M21">
        <f t="shared" si="3"/>
        <v>0.1934019337815493</v>
      </c>
      <c r="N21">
        <v>958984.99025544198</v>
      </c>
      <c r="O21">
        <v>7819616.8942960398</v>
      </c>
      <c r="P21">
        <f t="shared" si="4"/>
        <v>0.12263835980954084</v>
      </c>
      <c r="Q21">
        <v>1062043.6718029501</v>
      </c>
      <c r="R21">
        <v>10612011.638997201</v>
      </c>
      <c r="S21">
        <f t="shared" si="5"/>
        <v>0.10007939191285221</v>
      </c>
      <c r="T21">
        <v>432754.77353194699</v>
      </c>
      <c r="U21">
        <v>5918329.7764269896</v>
      </c>
      <c r="V21">
        <f t="shared" si="6"/>
        <v>7.3121098330078085E-2</v>
      </c>
    </row>
    <row r="22" spans="1:22" x14ac:dyDescent="0.3">
      <c r="A22">
        <v>2015</v>
      </c>
      <c r="B22">
        <v>45340.8279055046</v>
      </c>
      <c r="C22">
        <v>784985.58852809505</v>
      </c>
      <c r="D22">
        <f t="shared" si="0"/>
        <v>5.7760076832138976E-2</v>
      </c>
      <c r="E22">
        <v>257290.909926294</v>
      </c>
      <c r="F22">
        <v>4073281.5528252502</v>
      </c>
      <c r="G22">
        <f t="shared" si="1"/>
        <v>6.316551080242308E-2</v>
      </c>
      <c r="H22">
        <v>9892342.1852701809</v>
      </c>
      <c r="I22">
        <v>52245504.059196897</v>
      </c>
      <c r="J22">
        <f t="shared" si="2"/>
        <v>0.18934341554177825</v>
      </c>
      <c r="K22">
        <v>784005.042137129</v>
      </c>
      <c r="L22">
        <v>3965135.7336037098</v>
      </c>
      <c r="M22">
        <f t="shared" si="3"/>
        <v>0.19772464167943798</v>
      </c>
      <c r="N22">
        <v>972097.40312976704</v>
      </c>
      <c r="O22">
        <v>7906771.5542094801</v>
      </c>
      <c r="P22">
        <f t="shared" si="4"/>
        <v>0.12294492087762834</v>
      </c>
      <c r="Q22">
        <v>1097104.66140724</v>
      </c>
      <c r="R22">
        <v>10666290.7024014</v>
      </c>
      <c r="S22">
        <f t="shared" si="5"/>
        <v>0.10285718737819875</v>
      </c>
      <c r="T22">
        <v>436567.229793832</v>
      </c>
      <c r="U22">
        <v>5893141.6863273801</v>
      </c>
      <c r="V22">
        <f t="shared" si="6"/>
        <v>7.4080558898949822E-2</v>
      </c>
    </row>
    <row r="23" spans="1:22" x14ac:dyDescent="0.3">
      <c r="A23">
        <v>2016</v>
      </c>
      <c r="B23">
        <v>45667.786066317101</v>
      </c>
      <c r="C23">
        <v>780805.07831869903</v>
      </c>
      <c r="D23">
        <f t="shared" si="0"/>
        <v>5.8488075109159328E-2</v>
      </c>
      <c r="E23">
        <v>266228.80331268202</v>
      </c>
      <c r="F23">
        <v>4107971.61824336</v>
      </c>
      <c r="G23">
        <f t="shared" si="1"/>
        <v>6.4807848752014036E-2</v>
      </c>
      <c r="H23">
        <v>10140403.5863347</v>
      </c>
      <c r="I23">
        <v>53005500.5675724</v>
      </c>
      <c r="J23">
        <f t="shared" si="2"/>
        <v>0.19130851473438165</v>
      </c>
      <c r="K23">
        <v>804171.34589473705</v>
      </c>
      <c r="L23">
        <v>4027264.07483492</v>
      </c>
      <c r="M23">
        <f t="shared" si="3"/>
        <v>0.19968180157833343</v>
      </c>
      <c r="N23">
        <v>984393.21186974004</v>
      </c>
      <c r="O23">
        <v>7954899.3102889899</v>
      </c>
      <c r="P23">
        <f t="shared" si="4"/>
        <v>0.12374678465087681</v>
      </c>
      <c r="Q23">
        <v>1132545.56479081</v>
      </c>
      <c r="R23">
        <v>10743013.9524549</v>
      </c>
      <c r="S23">
        <f t="shared" si="5"/>
        <v>0.10542158558139175</v>
      </c>
      <c r="T23">
        <v>446431.57027372101</v>
      </c>
      <c r="U23">
        <v>5876930.0454263501</v>
      </c>
      <c r="V23">
        <f t="shared" si="6"/>
        <v>7.5963397015615497E-2</v>
      </c>
    </row>
    <row r="24" spans="1:22" x14ac:dyDescent="0.3">
      <c r="A24">
        <v>2017</v>
      </c>
      <c r="B24">
        <v>46460.124969595097</v>
      </c>
      <c r="C24">
        <v>779103.86741517298</v>
      </c>
      <c r="D24">
        <f t="shared" si="0"/>
        <v>5.9632774155948559E-2</v>
      </c>
      <c r="E24">
        <v>274210.74773182499</v>
      </c>
      <c r="F24">
        <v>4154624.1818133402</v>
      </c>
      <c r="G24">
        <f t="shared" si="1"/>
        <v>6.6001336277819983E-2</v>
      </c>
      <c r="H24">
        <v>10449941.7884792</v>
      </c>
      <c r="I24">
        <v>53696583</v>
      </c>
      <c r="J24">
        <f t="shared" si="2"/>
        <v>0.19461092689043546</v>
      </c>
      <c r="K24">
        <v>828076.43021037802</v>
      </c>
      <c r="L24">
        <v>4097054.5163979302</v>
      </c>
      <c r="M24">
        <f t="shared" si="3"/>
        <v>0.20211506263734333</v>
      </c>
      <c r="N24">
        <v>1002394.16359811</v>
      </c>
      <c r="O24">
        <v>7930760.1403057296</v>
      </c>
      <c r="P24">
        <f t="shared" si="4"/>
        <v>0.12639320139109236</v>
      </c>
      <c r="Q24">
        <v>1171361.4588859701</v>
      </c>
      <c r="R24">
        <v>10814512.9690108</v>
      </c>
      <c r="S24">
        <f t="shared" si="5"/>
        <v>0.10831384291114445</v>
      </c>
      <c r="T24">
        <v>455042.43780063698</v>
      </c>
      <c r="U24">
        <v>5869152.0800992297</v>
      </c>
      <c r="V24">
        <f t="shared" si="6"/>
        <v>7.7531205801186803E-2</v>
      </c>
    </row>
    <row r="25" spans="1:22" x14ac:dyDescent="0.3">
      <c r="A25">
        <v>2018</v>
      </c>
      <c r="B25">
        <v>47419.1354790599</v>
      </c>
      <c r="C25">
        <v>778596.20229495503</v>
      </c>
      <c r="D25">
        <f t="shared" si="0"/>
        <v>6.0903373711931032E-2</v>
      </c>
      <c r="E25">
        <v>279678.49823313102</v>
      </c>
      <c r="F25">
        <v>4212195.0686399601</v>
      </c>
      <c r="G25">
        <f t="shared" si="1"/>
        <v>6.6397328156844848E-2</v>
      </c>
      <c r="H25">
        <v>10864320.1275672</v>
      </c>
      <c r="I25">
        <v>54457527.598496497</v>
      </c>
      <c r="J25">
        <f t="shared" si="2"/>
        <v>0.19950079643107319</v>
      </c>
      <c r="K25">
        <v>854525.653346078</v>
      </c>
      <c r="L25">
        <v>4158293.3374707298</v>
      </c>
      <c r="M25">
        <f t="shared" si="3"/>
        <v>0.20549912764592043</v>
      </c>
      <c r="N25">
        <v>1022147.0432777</v>
      </c>
      <c r="O25">
        <v>7922863.5845726198</v>
      </c>
      <c r="P25">
        <f t="shared" si="4"/>
        <v>0.12901232393651485</v>
      </c>
      <c r="Q25">
        <v>1209466.57793047</v>
      </c>
      <c r="R25">
        <v>10893548.0827564</v>
      </c>
      <c r="S25">
        <f t="shared" si="5"/>
        <v>0.11102595488103248</v>
      </c>
      <c r="T25">
        <v>466556.21519399999</v>
      </c>
      <c r="U25">
        <v>5867809.7046048502</v>
      </c>
      <c r="V25">
        <f t="shared" si="6"/>
        <v>7.9511135957231735E-2</v>
      </c>
    </row>
    <row r="26" spans="1:22" x14ac:dyDescent="0.3">
      <c r="A26">
        <v>2019</v>
      </c>
      <c r="B26">
        <v>49013.037680343798</v>
      </c>
      <c r="C26">
        <v>774873.89303020597</v>
      </c>
      <c r="D26">
        <f t="shared" si="0"/>
        <v>6.3252921696296177E-2</v>
      </c>
      <c r="E26">
        <v>285602.31263261702</v>
      </c>
      <c r="F26">
        <v>4277169.5147828497</v>
      </c>
      <c r="G26">
        <f t="shared" si="1"/>
        <v>6.677367161752927E-2</v>
      </c>
      <c r="H26">
        <v>11335234.2776276</v>
      </c>
      <c r="I26">
        <v>55254408.379555598</v>
      </c>
      <c r="J26">
        <f t="shared" si="2"/>
        <v>0.20514624280769048</v>
      </c>
      <c r="K26">
        <v>887840.06708091602</v>
      </c>
      <c r="L26">
        <v>4221564.2073303498</v>
      </c>
      <c r="M26">
        <f t="shared" si="3"/>
        <v>0.21031068662636118</v>
      </c>
      <c r="N26">
        <v>1036501.5093543</v>
      </c>
      <c r="O26">
        <v>7915874.9265869698</v>
      </c>
      <c r="P26">
        <f t="shared" si="4"/>
        <v>0.13093960161914797</v>
      </c>
      <c r="Q26">
        <v>1256239.7473403499</v>
      </c>
      <c r="R26">
        <v>10991876.233289201</v>
      </c>
      <c r="S26">
        <f t="shared" si="5"/>
        <v>0.11428801786684908</v>
      </c>
      <c r="T26">
        <v>480950.10139245202</v>
      </c>
      <c r="U26">
        <v>5869088.2256660098</v>
      </c>
      <c r="V26">
        <f t="shared" si="6"/>
        <v>8.1946306291532184E-2</v>
      </c>
    </row>
    <row r="27" spans="1:22" x14ac:dyDescent="0.3">
      <c r="A27">
        <v>2020</v>
      </c>
      <c r="B27">
        <v>49708.753399510002</v>
      </c>
      <c r="C27">
        <v>774487.2</v>
      </c>
      <c r="D27">
        <f t="shared" si="0"/>
        <v>6.4182795273453205E-2</v>
      </c>
      <c r="E27">
        <v>286196.82469715399</v>
      </c>
      <c r="F27">
        <v>4319327.9117037104</v>
      </c>
      <c r="G27">
        <f t="shared" si="1"/>
        <v>6.6259573375216804E-2</v>
      </c>
      <c r="H27">
        <v>11706441.9152827</v>
      </c>
      <c r="I27">
        <v>55942020.128497601</v>
      </c>
      <c r="J27">
        <f t="shared" si="2"/>
        <v>0.20926026425919655</v>
      </c>
      <c r="K27">
        <v>905199.17728663702</v>
      </c>
      <c r="L27">
        <v>4241252</v>
      </c>
      <c r="M27">
        <f t="shared" si="3"/>
        <v>0.21342735052919209</v>
      </c>
      <c r="N27">
        <v>1036226.58646115</v>
      </c>
      <c r="O27">
        <v>7915119.5</v>
      </c>
      <c r="P27">
        <f t="shared" si="4"/>
        <v>0.13091736472976181</v>
      </c>
      <c r="Q27">
        <v>1284297.51469729</v>
      </c>
      <c r="R27">
        <v>11016929</v>
      </c>
      <c r="S27">
        <f t="shared" si="5"/>
        <v>0.11657491073032149</v>
      </c>
      <c r="T27">
        <v>486706.58053421002</v>
      </c>
      <c r="U27">
        <v>5845973.2999999998</v>
      </c>
      <c r="V27">
        <f t="shared" si="6"/>
        <v>8.3255012562956809E-2</v>
      </c>
    </row>
    <row r="28" spans="1:22" x14ac:dyDescent="0.3">
      <c r="A28">
        <v>2021</v>
      </c>
      <c r="B28">
        <v>50952.0008524558</v>
      </c>
      <c r="C28">
        <v>772883</v>
      </c>
      <c r="D28">
        <f t="shared" si="0"/>
        <v>6.5924597710721802E-2</v>
      </c>
      <c r="E28">
        <v>296325.44021782599</v>
      </c>
      <c r="F28">
        <v>4364488.4649885204</v>
      </c>
      <c r="G28">
        <f t="shared" si="1"/>
        <v>6.7894655374832205E-2</v>
      </c>
      <c r="H28">
        <v>12264422.323703101</v>
      </c>
      <c r="I28">
        <v>56643968.331073001</v>
      </c>
      <c r="J28">
        <f t="shared" si="2"/>
        <v>0.21651771027093181</v>
      </c>
      <c r="K28">
        <v>921452.67334790202</v>
      </c>
      <c r="L28">
        <v>4304260</v>
      </c>
      <c r="M28">
        <f t="shared" si="3"/>
        <v>0.21407923158635911</v>
      </c>
      <c r="N28">
        <v>1060988.6761499699</v>
      </c>
      <c r="O28">
        <v>7810465</v>
      </c>
      <c r="P28">
        <f t="shared" si="4"/>
        <v>0.13584193465433492</v>
      </c>
      <c r="Q28">
        <v>1314821.78347786</v>
      </c>
      <c r="R28">
        <v>11037421.3586279</v>
      </c>
      <c r="S28">
        <f t="shared" si="5"/>
        <v>0.11912400014067326</v>
      </c>
      <c r="T28">
        <v>501487.78670784901</v>
      </c>
      <c r="U28">
        <v>5876178.2999999998</v>
      </c>
      <c r="V28">
        <f t="shared" si="6"/>
        <v>8.534250683098725E-2</v>
      </c>
    </row>
    <row r="30" spans="1:22" x14ac:dyDescent="0.3">
      <c r="A30" t="s">
        <v>18</v>
      </c>
      <c r="B30">
        <f>((B28-B7)/B7)*100</f>
        <v>44.414981211210701</v>
      </c>
      <c r="C30">
        <f t="shared" ref="C30:V30" si="7">((C28-C7)/C7)*100</f>
        <v>13.291767738539587</v>
      </c>
      <c r="D30">
        <f t="shared" si="7"/>
        <v>27.471734349223699</v>
      </c>
      <c r="E30">
        <f t="shared" si="7"/>
        <v>102.06191811231638</v>
      </c>
      <c r="F30">
        <f t="shared" si="7"/>
        <v>59.127690304405434</v>
      </c>
      <c r="G30">
        <f t="shared" si="7"/>
        <v>26.980991005260822</v>
      </c>
      <c r="H30">
        <f t="shared" si="7"/>
        <v>84.540711918117609</v>
      </c>
      <c r="I30">
        <f t="shared" si="7"/>
        <v>36.345162885610158</v>
      </c>
      <c r="J30">
        <f t="shared" si="7"/>
        <v>35.348191320100007</v>
      </c>
      <c r="K30">
        <f t="shared" si="7"/>
        <v>95.286088921594015</v>
      </c>
      <c r="L30">
        <f t="shared" si="7"/>
        <v>33.352132909887054</v>
      </c>
      <c r="M30">
        <f t="shared" si="7"/>
        <v>46.443918563761528</v>
      </c>
      <c r="N30">
        <f t="shared" si="7"/>
        <v>34.899271013551939</v>
      </c>
      <c r="O30">
        <f t="shared" si="7"/>
        <v>-2.605350800025243E-2</v>
      </c>
      <c r="P30">
        <f t="shared" si="7"/>
        <v>34.934426165067954</v>
      </c>
      <c r="Q30">
        <f t="shared" si="7"/>
        <v>66.791045502895869</v>
      </c>
      <c r="R30">
        <f t="shared" si="7"/>
        <v>14.955279188034018</v>
      </c>
      <c r="S30">
        <f t="shared" si="7"/>
        <v>45.092114673631762</v>
      </c>
      <c r="T30">
        <f t="shared" si="7"/>
        <v>33.017228180908845</v>
      </c>
      <c r="U30">
        <f t="shared" si="7"/>
        <v>17.003920215950259</v>
      </c>
      <c r="V30">
        <f t="shared" si="7"/>
        <v>13.686129435153418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6952-31E4-4870-9DEF-86A37D1E5067}">
  <dimension ref="A1:H23"/>
  <sheetViews>
    <sheetView tabSelected="1" workbookViewId="0"/>
  </sheetViews>
  <sheetFormatPr baseColWidth="10" defaultRowHeight="14.4" x14ac:dyDescent="0.3"/>
  <sheetData>
    <row r="1" spans="1:8" x14ac:dyDescent="0.3">
      <c r="A1" t="s">
        <v>29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">
      <c r="A2">
        <v>2000</v>
      </c>
      <c r="B2">
        <v>5.1717032052073342E-2</v>
      </c>
      <c r="C2">
        <v>5.3468361553438599E-2</v>
      </c>
      <c r="D2">
        <v>0.15997089296809661</v>
      </c>
      <c r="E2">
        <v>0.14618512921938048</v>
      </c>
      <c r="F2">
        <v>0.10067255519222114</v>
      </c>
      <c r="G2">
        <v>8.2102325414878108E-2</v>
      </c>
      <c r="H2">
        <v>7.5068530571855405E-2</v>
      </c>
    </row>
    <row r="3" spans="1:8" x14ac:dyDescent="0.3">
      <c r="A3">
        <v>2001</v>
      </c>
      <c r="B3">
        <v>5.2268554752870421E-2</v>
      </c>
      <c r="C3">
        <v>5.3809239032232413E-2</v>
      </c>
      <c r="D3">
        <v>0.16214790744175497</v>
      </c>
      <c r="E3">
        <v>0.14870618928813062</v>
      </c>
      <c r="F3">
        <v>0.10191373466309919</v>
      </c>
      <c r="G3">
        <v>8.358049459397647E-2</v>
      </c>
      <c r="H3">
        <v>7.6507303617505656E-2</v>
      </c>
    </row>
    <row r="4" spans="1:8" x14ac:dyDescent="0.3">
      <c r="A4">
        <v>2002</v>
      </c>
      <c r="B4">
        <v>5.2651518510759381E-2</v>
      </c>
      <c r="C4">
        <v>5.4364274775982248E-2</v>
      </c>
      <c r="D4">
        <v>0.16282420783067619</v>
      </c>
      <c r="E4">
        <v>0.14700472794045027</v>
      </c>
      <c r="F4">
        <v>0.10363956346328311</v>
      </c>
      <c r="G4">
        <v>8.4738640066016321E-2</v>
      </c>
      <c r="H4">
        <v>7.7347718799691642E-2</v>
      </c>
    </row>
    <row r="5" spans="1:8" x14ac:dyDescent="0.3">
      <c r="A5">
        <v>2003</v>
      </c>
      <c r="B5">
        <v>5.2944725185007882E-2</v>
      </c>
      <c r="C5">
        <v>5.494249687320811E-2</v>
      </c>
      <c r="D5">
        <v>0.1641806374093808</v>
      </c>
      <c r="E5">
        <v>0.14800579878877584</v>
      </c>
      <c r="F5">
        <v>0.10519889892997711</v>
      </c>
      <c r="G5">
        <v>8.5390427740088135E-2</v>
      </c>
      <c r="H5">
        <v>7.7491778258356431E-2</v>
      </c>
    </row>
    <row r="6" spans="1:8" x14ac:dyDescent="0.3">
      <c r="A6">
        <v>2004</v>
      </c>
      <c r="B6">
        <v>5.2509531275979113E-2</v>
      </c>
      <c r="C6">
        <v>5.5286164499468715E-2</v>
      </c>
      <c r="D6">
        <v>0.16482620041032953</v>
      </c>
      <c r="E6">
        <v>0.15029928149809524</v>
      </c>
      <c r="F6">
        <v>0.1076053095682306</v>
      </c>
      <c r="G6">
        <v>8.6014995590254828E-2</v>
      </c>
      <c r="H6">
        <v>7.6517110897935878E-2</v>
      </c>
    </row>
    <row r="7" spans="1:8" x14ac:dyDescent="0.3">
      <c r="A7">
        <v>2005</v>
      </c>
      <c r="B7">
        <v>5.2991864391034184E-2</v>
      </c>
      <c r="C7">
        <v>5.6005697264353359E-2</v>
      </c>
      <c r="D7">
        <v>0.16596983052884257</v>
      </c>
      <c r="E7">
        <v>0.15575888119793799</v>
      </c>
      <c r="F7">
        <v>0.10948642191926082</v>
      </c>
      <c r="G7">
        <v>8.6633448611416336E-2</v>
      </c>
      <c r="H7">
        <v>7.5252120344594609E-2</v>
      </c>
    </row>
    <row r="8" spans="1:8" x14ac:dyDescent="0.3">
      <c r="A8">
        <v>2006</v>
      </c>
      <c r="B8">
        <v>5.3074683143916654E-2</v>
      </c>
      <c r="C8">
        <v>5.7289807536881412E-2</v>
      </c>
      <c r="D8">
        <v>0.16698929087958078</v>
      </c>
      <c r="E8">
        <v>0.16023218570776718</v>
      </c>
      <c r="F8">
        <v>0.11166027829093129</v>
      </c>
      <c r="G8">
        <v>8.7467603490030785E-2</v>
      </c>
      <c r="H8">
        <v>7.4400660304328098E-2</v>
      </c>
    </row>
    <row r="9" spans="1:8" x14ac:dyDescent="0.3">
      <c r="A9">
        <v>2007</v>
      </c>
      <c r="B9">
        <v>5.3972534037691235E-2</v>
      </c>
      <c r="C9">
        <v>5.8641090947705012E-2</v>
      </c>
      <c r="D9">
        <v>0.16899393258953896</v>
      </c>
      <c r="E9">
        <v>0.16578257858714335</v>
      </c>
      <c r="F9">
        <v>0.11340941712576622</v>
      </c>
      <c r="G9">
        <v>8.8672521559739731E-2</v>
      </c>
      <c r="H9">
        <v>7.396557596428012E-2</v>
      </c>
    </row>
    <row r="10" spans="1:8" x14ac:dyDescent="0.3">
      <c r="A10">
        <v>2008</v>
      </c>
      <c r="B10">
        <v>5.5751940170905692E-2</v>
      </c>
      <c r="C10">
        <v>5.9765750272944021E-2</v>
      </c>
      <c r="D10">
        <v>0.17130566719989124</v>
      </c>
      <c r="E10">
        <v>0.16893806376343887</v>
      </c>
      <c r="F10">
        <v>0.11591892753795931</v>
      </c>
      <c r="G10">
        <v>9.0230574865893823E-2</v>
      </c>
      <c r="H10">
        <v>7.3362154656120962E-2</v>
      </c>
    </row>
    <row r="11" spans="1:8" x14ac:dyDescent="0.3">
      <c r="A11">
        <v>2009</v>
      </c>
      <c r="B11">
        <v>5.5983888040565012E-2</v>
      </c>
      <c r="C11">
        <v>6.0974501136014152E-2</v>
      </c>
      <c r="D11">
        <v>0.17118836736144058</v>
      </c>
      <c r="E11">
        <v>0.17023468848027506</v>
      </c>
      <c r="F11">
        <v>0.11564664283491324</v>
      </c>
      <c r="G11">
        <v>9.1230017048911899E-2</v>
      </c>
      <c r="H11">
        <v>7.2672944067058529E-2</v>
      </c>
    </row>
    <row r="12" spans="1:8" x14ac:dyDescent="0.3">
      <c r="A12">
        <v>2010</v>
      </c>
      <c r="B12">
        <v>5.5827073279840801E-2</v>
      </c>
      <c r="C12">
        <v>6.1128688569178316E-2</v>
      </c>
      <c r="D12">
        <v>0.17275789740896116</v>
      </c>
      <c r="E12">
        <v>0.17169383140400124</v>
      </c>
      <c r="F12">
        <v>0.11710282792980974</v>
      </c>
      <c r="G12">
        <v>9.2147315051232748E-2</v>
      </c>
      <c r="H12">
        <v>7.2426172867236308E-2</v>
      </c>
    </row>
    <row r="13" spans="1:8" x14ac:dyDescent="0.3">
      <c r="A13">
        <v>2011</v>
      </c>
      <c r="B13">
        <v>5.6578045282769461E-2</v>
      </c>
      <c r="C13">
        <v>6.0999031193280435E-2</v>
      </c>
      <c r="D13">
        <v>0.17626334038874608</v>
      </c>
      <c r="E13">
        <v>0.17553606259135651</v>
      </c>
      <c r="F13">
        <v>0.11915335339089692</v>
      </c>
      <c r="G13">
        <v>9.4179898138330165E-2</v>
      </c>
      <c r="H13">
        <v>7.2019806060500305E-2</v>
      </c>
    </row>
    <row r="14" spans="1:8" x14ac:dyDescent="0.3">
      <c r="A14">
        <v>2012</v>
      </c>
      <c r="B14">
        <v>5.7160944023827286E-2</v>
      </c>
      <c r="C14">
        <v>6.1060633252091989E-2</v>
      </c>
      <c r="D14">
        <v>0.18002372703399874</v>
      </c>
      <c r="E14">
        <v>0.18075233314593053</v>
      </c>
      <c r="F14">
        <v>0.12095685734692424</v>
      </c>
      <c r="G14">
        <v>9.6147379913235423E-2</v>
      </c>
      <c r="H14">
        <v>7.1948226224697209E-2</v>
      </c>
    </row>
    <row r="15" spans="1:8" x14ac:dyDescent="0.3">
      <c r="A15">
        <v>2013</v>
      </c>
      <c r="B15">
        <v>5.7390854431346616E-2</v>
      </c>
      <c r="C15">
        <v>6.1050267587686932E-2</v>
      </c>
      <c r="D15">
        <v>0.18325135279447899</v>
      </c>
      <c r="E15">
        <v>0.18770473321116846</v>
      </c>
      <c r="F15">
        <v>0.12157718096827609</v>
      </c>
      <c r="G15">
        <v>9.7958791606735526E-2</v>
      </c>
      <c r="H15">
        <v>7.2203020490394731E-2</v>
      </c>
    </row>
    <row r="16" spans="1:8" x14ac:dyDescent="0.3">
      <c r="A16">
        <v>2014</v>
      </c>
      <c r="B16">
        <v>5.7697766615625694E-2</v>
      </c>
      <c r="C16">
        <v>6.2142634868821101E-2</v>
      </c>
      <c r="D16">
        <v>0.18742998269045935</v>
      </c>
      <c r="E16">
        <v>0.1934019337815493</v>
      </c>
      <c r="F16">
        <v>0.12263835980954084</v>
      </c>
      <c r="G16">
        <v>0.10007939191285221</v>
      </c>
      <c r="H16">
        <v>7.3121098330078085E-2</v>
      </c>
    </row>
    <row r="17" spans="1:8" x14ac:dyDescent="0.3">
      <c r="A17">
        <v>2015</v>
      </c>
      <c r="B17">
        <v>5.7760076832138976E-2</v>
      </c>
      <c r="C17">
        <v>6.316551080242308E-2</v>
      </c>
      <c r="D17">
        <v>0.18934341554177825</v>
      </c>
      <c r="E17">
        <v>0.19772464167943798</v>
      </c>
      <c r="F17">
        <v>0.12294492087762834</v>
      </c>
      <c r="G17">
        <v>0.10285718737819875</v>
      </c>
      <c r="H17">
        <v>7.4080558898949822E-2</v>
      </c>
    </row>
    <row r="18" spans="1:8" x14ac:dyDescent="0.3">
      <c r="A18">
        <v>2016</v>
      </c>
      <c r="B18">
        <v>5.8488075109159328E-2</v>
      </c>
      <c r="C18">
        <v>6.4807848752014036E-2</v>
      </c>
      <c r="D18">
        <v>0.19130851473438165</v>
      </c>
      <c r="E18">
        <v>0.19968180157833343</v>
      </c>
      <c r="F18">
        <v>0.12374678465087681</v>
      </c>
      <c r="G18">
        <v>0.10542158558139175</v>
      </c>
      <c r="H18">
        <v>7.5963397015615497E-2</v>
      </c>
    </row>
    <row r="19" spans="1:8" x14ac:dyDescent="0.3">
      <c r="A19">
        <v>2017</v>
      </c>
      <c r="B19">
        <v>5.9632774155948559E-2</v>
      </c>
      <c r="C19">
        <v>6.6001336277819983E-2</v>
      </c>
      <c r="D19">
        <v>0.19461092689043546</v>
      </c>
      <c r="E19">
        <v>0.20211506263734333</v>
      </c>
      <c r="F19">
        <v>0.12639320139109236</v>
      </c>
      <c r="G19">
        <v>0.10831384291114445</v>
      </c>
      <c r="H19">
        <v>7.7531205801186803E-2</v>
      </c>
    </row>
    <row r="20" spans="1:8" x14ac:dyDescent="0.3">
      <c r="A20">
        <v>2018</v>
      </c>
      <c r="B20">
        <v>6.0903373711931032E-2</v>
      </c>
      <c r="C20">
        <v>6.6397328156844848E-2</v>
      </c>
      <c r="D20">
        <v>0.19950079643107319</v>
      </c>
      <c r="E20">
        <v>0.20549912764592043</v>
      </c>
      <c r="F20">
        <v>0.12901232393651485</v>
      </c>
      <c r="G20">
        <v>0.11102595488103248</v>
      </c>
      <c r="H20">
        <v>7.9511135957231735E-2</v>
      </c>
    </row>
    <row r="21" spans="1:8" x14ac:dyDescent="0.3">
      <c r="A21">
        <v>2019</v>
      </c>
      <c r="B21">
        <v>6.3252921696296177E-2</v>
      </c>
      <c r="C21">
        <v>6.677367161752927E-2</v>
      </c>
      <c r="D21">
        <v>0.20514624280769048</v>
      </c>
      <c r="E21">
        <v>0.21031068662636118</v>
      </c>
      <c r="F21">
        <v>0.13093960161914797</v>
      </c>
      <c r="G21">
        <v>0.11428801786684908</v>
      </c>
      <c r="H21">
        <v>8.1946306291532184E-2</v>
      </c>
    </row>
    <row r="22" spans="1:8" x14ac:dyDescent="0.3">
      <c r="A22">
        <v>2020</v>
      </c>
      <c r="B22">
        <v>6.4182795273453205E-2</v>
      </c>
      <c r="C22">
        <v>6.6259573375216804E-2</v>
      </c>
      <c r="D22">
        <v>0.20926026425919655</v>
      </c>
      <c r="E22">
        <v>0.21342735052919209</v>
      </c>
      <c r="F22">
        <v>0.13091736472976181</v>
      </c>
      <c r="G22">
        <v>0.11657491073032149</v>
      </c>
      <c r="H22">
        <v>8.3255012562956809E-2</v>
      </c>
    </row>
    <row r="23" spans="1:8" x14ac:dyDescent="0.3">
      <c r="A23">
        <v>2021</v>
      </c>
      <c r="B23">
        <v>6.5924597710721802E-2</v>
      </c>
      <c r="C23">
        <v>6.7894655374832205E-2</v>
      </c>
      <c r="D23">
        <v>0.21651771027093181</v>
      </c>
      <c r="E23">
        <v>0.21407923158635911</v>
      </c>
      <c r="F23">
        <v>0.13584193465433492</v>
      </c>
      <c r="G23">
        <v>0.11912400014067326</v>
      </c>
      <c r="H23">
        <v>8.534250683098725E-2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VICENTE FERNANDEZ</dc:creator>
  <cp:lastModifiedBy>ALEJANDRO VICENTE FERNANDEZ</cp:lastModifiedBy>
  <dcterms:created xsi:type="dcterms:W3CDTF">2025-11-10T09:43:55Z</dcterms:created>
  <dcterms:modified xsi:type="dcterms:W3CDTF">2025-11-11T13:18:29Z</dcterms:modified>
</cp:coreProperties>
</file>